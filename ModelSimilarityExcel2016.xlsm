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02" codeName="{6A26FB3C-EA34-E94E-B44F-155022A03E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user/Desktop/Stage2A/"/>
    </mc:Choice>
  </mc:AlternateContent>
  <xr:revisionPtr revIDLastSave="0" documentId="13_ncr:1_{031E2680-7ED2-9A43-80B6-D7A7384E9858}" xr6:coauthVersionLast="47" xr6:coauthVersionMax="47" xr10:uidLastSave="{00000000-0000-0000-0000-000000000000}"/>
  <bookViews>
    <workbookView xWindow="0" yWindow="0" windowWidth="35840" windowHeight="22400" activeTab="1" xr2:uid="{00000000-000D-0000-FFFF-FFFF00000000}"/>
  </bookViews>
  <sheets>
    <sheet name="POSTES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 a="1"/>
  <c r="C2" i="2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" i="2"/>
  <c r="C2" i="3" a="1"/>
  <c r="C2" i="3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<sst xmlns="http://schemas.openxmlformats.org/spreadsheetml/2006/main" count="176" uniqueCount="68">
  <si>
    <t>A-1.1</t>
  </si>
  <si>
    <t>A-1.2</t>
  </si>
  <si>
    <t>A-2.1</t>
  </si>
  <si>
    <t>A-2.2</t>
  </si>
  <si>
    <t>B-1.1</t>
  </si>
  <si>
    <t>B-1.2</t>
  </si>
  <si>
    <t>B-2.1</t>
  </si>
  <si>
    <t>B-3.1</t>
  </si>
  <si>
    <t>B-3.2</t>
  </si>
  <si>
    <t>B-4.1</t>
  </si>
  <si>
    <t>B-5.1</t>
  </si>
  <si>
    <t>B-5.2</t>
  </si>
  <si>
    <t>C-1.1</t>
  </si>
  <si>
    <t>C-2.1</t>
  </si>
  <si>
    <t>C-3.1</t>
  </si>
  <si>
    <t>D-1.1</t>
  </si>
  <si>
    <t>D-1.2</t>
  </si>
  <si>
    <t>D-2.1</t>
  </si>
  <si>
    <t>D-3.1</t>
  </si>
  <si>
    <t>D-4.1</t>
  </si>
  <si>
    <t>EE-1.1</t>
  </si>
  <si>
    <t>EE-2.1</t>
  </si>
  <si>
    <t>FE-1.1</t>
  </si>
  <si>
    <t>FE-2.1</t>
  </si>
  <si>
    <t>FE-3.1</t>
  </si>
  <si>
    <t>Critère</t>
  </si>
  <si>
    <t>Formation de base</t>
  </si>
  <si>
    <t>Formation complémentaire</t>
  </si>
  <si>
    <t>Nature</t>
  </si>
  <si>
    <t>Durée</t>
  </si>
  <si>
    <t>Responsabilités</t>
  </si>
  <si>
    <t>Responsabilités de planification et de réalisation des activités à court terme</t>
  </si>
  <si>
    <t>Responsabilités de planification et de réalisation des activités à long terme</t>
  </si>
  <si>
    <t>Autonomie de décision</t>
  </si>
  <si>
    <t>Diversité et quantité des postes à gérer</t>
  </si>
  <si>
    <t>Rôle dans la gestion des ressources humaines</t>
  </si>
  <si>
    <t>Responsabilités budgétaires</t>
  </si>
  <si>
    <t>Impact externe des prestations</t>
  </si>
  <si>
    <t>Impact interne des prestations</t>
  </si>
  <si>
    <t>Nature des communications internes</t>
  </si>
  <si>
    <t>Nature des communications externes</t>
  </si>
  <si>
    <t>Connaissances linguistiques</t>
  </si>
  <si>
    <t>Complexité de l'environnement</t>
  </si>
  <si>
    <t>Evolution de l'environnement</t>
  </si>
  <si>
    <t>Diversité des missions</t>
  </si>
  <si>
    <t>Analyse et synthèse</t>
  </si>
  <si>
    <t>Innovation</t>
  </si>
  <si>
    <t>Nature d'intervention</t>
  </si>
  <si>
    <t>Conséquences des prestations</t>
  </si>
  <si>
    <t>Risques</t>
  </si>
  <si>
    <t>Exigences de la fonction</t>
  </si>
  <si>
    <t>Fatigabilité</t>
  </si>
  <si>
    <t>Max réponse (Ne pas supprimer)</t>
  </si>
  <si>
    <t>Similarité réponses Formation (deux dimensions)</t>
  </si>
  <si>
    <t>Présentation graphique  (dimensions A-1.1 et  A-1.2)</t>
  </si>
  <si>
    <t>Similarité réponses ( 25 dimensions)</t>
  </si>
  <si>
    <t>A</t>
  </si>
  <si>
    <t>B</t>
  </si>
  <si>
    <t>C</t>
  </si>
  <si>
    <t>D</t>
  </si>
  <si>
    <t>EA</t>
  </si>
  <si>
    <t>FA</t>
  </si>
  <si>
    <t>Mise en oeuvre des procédures de travail</t>
  </si>
  <si>
    <t>Degré d'organisation</t>
  </si>
  <si>
    <t>1AE2024</t>
  </si>
  <si>
    <t>1AE2025</t>
  </si>
  <si>
    <t>consultant</t>
  </si>
  <si>
    <t>evalauto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</si>
</sst>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A0080"/>
      <name val="Calibri"/>
      <family val="2"/>
      <scheme val="minor"/>
    </font>
    <font>
      <sz val="11"/>
      <color rgb="FFFA0080"/>
      <name val="Calibri"/>
      <family val="2"/>
      <scheme val="minor"/>
    </font>
    <font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0" fillId="0" borderId="1" xfId="0" applyBorder="1" applyAlignment="1">
      <alignment horizontal="center"/>
    </xf>
    <xf numFmtId="0" fontId="2" fillId="0" borderId="0" xfId="0" applyFont="1"/>
    <xf numFmtId="164" fontId="0" fillId="2" borderId="0" xfId="0" applyNumberFormat="1" applyFill="1" applyAlignment="1">
      <alignment horizontal="center" vertical="center"/>
    </xf>
    <xf numFmtId="0" fontId="0" fillId="3" borderId="1" xfId="0" applyFill="1" applyBorder="1"/>
    <xf numFmtId="164" fontId="0" fillId="3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A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165100</xdr:colOff>
      <xdr:row>10</xdr:row>
      <xdr:rowOff>0</xdr:rowOff>
    </xdr:from>
    <xdr:to>
      <xdr:col>7</xdr:col>
      <xdr:colOff>546100</xdr:colOff>
      <xdr:row>23</xdr:row>
      <xdr:rowOff>63500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E4388F6-BAF8-7DCC-003E-D971A4D638D9}"/>
            </a:ext>
          </a:extLst>
        </xdr:cNvPr>
        <xdr:cNvSpPr/>
      </xdr:nvSpPr>
      <xdr:spPr>
        <a:xfrm>
          <a:off x="4445000" y="1905000"/>
          <a:ext cx="3175000" cy="2540000"/>
        </a:xfrm>
        <a:prstGeom prst="rect">
          <a:avLst/>
        </a:prstGeom>
        <a:solidFill>
          <a:srgbClr val="FAFAF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5</xdr:col>
      <xdr:colOff>113654</xdr:colOff>
      <xdr:row>15</xdr:row>
      <xdr:rowOff>63500</xdr:rowOff>
    </xdr:from>
    <xdr:ext cx="356893" cy="95346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5481F5-72F1-0309-7B25-02E9B6F18A98}"/>
            </a:ext>
          </a:extLst>
        </xdr:cNvPr>
        <xdr:cNvSpPr txBox="1"/>
      </xdr:nvSpPr>
      <xdr:spPr>
        <a:xfrm>
          <a:off x="4393554" y="2921000"/>
          <a:ext cx="356893" cy="953466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rtlCol="0" anchor="ctr">
          <a:spAutoFit/>
        </a:bodyPr>
        <a:lstStyle/>
        <a:p>
          <a:pPr algn="ctr"/>
          <a:r>
            <a:rPr lang="en-GB" sz="1100" b="1"/>
            <a:t>A-1.2</a:t>
          </a:r>
        </a:p>
      </xdr:txBody>
    </xdr:sp>
    <xdr:clientData/>
  </xdr:oneCellAnchor>
  <xdr:oneCellAnchor>
    <xdr:from>
      <xdr:col>6</xdr:col>
      <xdr:colOff>292100</xdr:colOff>
      <xdr:row>22</xdr:row>
      <xdr:rowOff>0</xdr:rowOff>
    </xdr:from>
    <xdr:ext cx="50800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B2416AA-833F-F652-B150-EBCD2510F729}"/>
            </a:ext>
          </a:extLst>
        </xdr:cNvPr>
        <xdr:cNvSpPr txBox="1"/>
      </xdr:nvSpPr>
      <xdr:spPr>
        <a:xfrm>
          <a:off x="5778500" y="4191000"/>
          <a:ext cx="508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lang="en-GB" sz="1100" b="1"/>
            <a:t>A-1.1</a:t>
          </a:r>
        </a:p>
      </xdr:txBody>
    </xdr:sp>
    <xdr:clientData/>
  </xdr:oneCellAnchor>
  <xdr:twoCellAnchor>
    <xdr:from>
      <xdr:col>5</xdr:col>
      <xdr:colOff>165100</xdr:colOff>
      <xdr:row>19</xdr:row>
      <xdr:rowOff>63500</xdr:rowOff>
    </xdr:from>
    <xdr:to>
      <xdr:col>6</xdr:col>
      <xdr:colOff>863600</xdr:colOff>
      <xdr:row>23</xdr:row>
      <xdr:rowOff>63500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E48D9EF6-8ABC-AAEB-924B-906DE6F0BEB9}"/>
            </a:ext>
          </a:extLst>
        </xdr:cNvPr>
        <xdr:cNvCxnSpPr/>
      </xdr:nvCxnSpPr>
      <xdr:spPr>
        <a:xfrm flipV="1">
          <a:off x="4445000" y="3683000"/>
          <a:ext cx="1905000" cy="762000"/>
        </a:xfrm>
        <a:prstGeom prst="line">
          <a:avLst/>
        </a:prstGeom>
        <a:ln w="38100">
          <a:solidFill>
            <a:srgbClr val="FA0080"/>
          </a:solidFill>
          <a:prstDash val="soli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228600</xdr:colOff>
      <xdr:row>18</xdr:row>
      <xdr:rowOff>0</xdr:rowOff>
    </xdr:from>
    <xdr:ext cx="635000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F20DEB6-F319-2516-5813-9AF90D829723}"/>
            </a:ext>
          </a:extLst>
        </xdr:cNvPr>
        <xdr:cNvSpPr txBox="1"/>
      </xdr:nvSpPr>
      <xdr:spPr>
        <a:xfrm>
          <a:off x="5715000" y="3429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FA0080"/>
              </a:solidFill>
            </a:rPr>
            <a:t>Poste 1</a:t>
          </a:r>
        </a:p>
      </xdr:txBody>
    </xdr:sp>
    <xdr:clientData/>
  </xdr:oneCellAnchor>
  <xdr:twoCellAnchor>
    <xdr:from>
      <xdr:col>5</xdr:col>
      <xdr:colOff>165100</xdr:colOff>
      <xdr:row>17</xdr:row>
      <xdr:rowOff>63500</xdr:rowOff>
    </xdr:from>
    <xdr:to>
      <xdr:col>6</xdr:col>
      <xdr:colOff>863600</xdr:colOff>
      <xdr:row>23</xdr:row>
      <xdr:rowOff>63500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D3987E7E-9DC2-C4FA-6891-CE66650C766A}"/>
            </a:ext>
          </a:extLst>
        </xdr:cNvPr>
        <xdr:cNvCxnSpPr/>
      </xdr:nvCxnSpPr>
      <xdr:spPr>
        <a:xfrm flipV="1">
          <a:off x="4445000" y="3302000"/>
          <a:ext cx="1905000" cy="1143000"/>
        </a:xfrm>
        <a:prstGeom prst="line">
          <a:avLst/>
        </a:prstGeom>
        <a:ln w="38100">
          <a:solidFill>
            <a:srgbClr val="0070C0"/>
          </a:solidFill>
          <a:prstDash val="soli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863600</xdr:colOff>
      <xdr:row>17</xdr:row>
      <xdr:rowOff>63500</xdr:rowOff>
    </xdr:from>
    <xdr:ext cx="635000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A9A3645-AF15-A93C-A08A-8B4A96981AC7}"/>
            </a:ext>
          </a:extLst>
        </xdr:cNvPr>
        <xdr:cNvSpPr txBox="1"/>
      </xdr:nvSpPr>
      <xdr:spPr>
        <a:xfrm>
          <a:off x="6350000" y="3302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0070C0"/>
              </a:solidFill>
            </a:rPr>
            <a:t>Poste 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165100</xdr:colOff>
      <xdr:row>10</xdr:row>
      <xdr:rowOff>0</xdr:rowOff>
    </xdr:from>
    <xdr:to>
      <xdr:col>7</xdr:col>
      <xdr:colOff>546100</xdr:colOff>
      <xdr:row>23</xdr:row>
      <xdr:rowOff>63500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B850843-3404-E14A-967C-85751515C84E}"/>
            </a:ext>
          </a:extLst>
        </xdr:cNvPr>
        <xdr:cNvSpPr/>
      </xdr:nvSpPr>
      <xdr:spPr>
        <a:xfrm>
          <a:off x="4445000" y="1905000"/>
          <a:ext cx="3175000" cy="2540000"/>
        </a:xfrm>
        <a:prstGeom prst="rect">
          <a:avLst/>
        </a:prstGeom>
        <a:solidFill>
          <a:srgbClr val="FAFAF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5</xdr:col>
      <xdr:colOff>113654</xdr:colOff>
      <xdr:row>15</xdr:row>
      <xdr:rowOff>63500</xdr:rowOff>
    </xdr:from>
    <xdr:ext cx="356893" cy="95346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D26BC67-65C0-8F44-8BF8-973703F5499A}"/>
            </a:ext>
          </a:extLst>
        </xdr:cNvPr>
        <xdr:cNvSpPr txBox="1"/>
      </xdr:nvSpPr>
      <xdr:spPr>
        <a:xfrm>
          <a:off x="4393554" y="2921000"/>
          <a:ext cx="356893" cy="953466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rtlCol="0" anchor="ctr">
          <a:spAutoFit/>
        </a:bodyPr>
        <a:lstStyle/>
        <a:p>
          <a:pPr algn="ctr"/>
          <a:r>
            <a:rPr lang="en-GB" sz="1100" b="1"/>
            <a:t>A-1.2</a:t>
          </a:r>
        </a:p>
      </xdr:txBody>
    </xdr:sp>
    <xdr:clientData/>
  </xdr:oneCellAnchor>
  <xdr:oneCellAnchor>
    <xdr:from>
      <xdr:col>6</xdr:col>
      <xdr:colOff>292100</xdr:colOff>
      <xdr:row>22</xdr:row>
      <xdr:rowOff>0</xdr:rowOff>
    </xdr:from>
    <xdr:ext cx="50800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35F6702-842B-2043-9DD9-0D22BF03B8A4}"/>
            </a:ext>
          </a:extLst>
        </xdr:cNvPr>
        <xdr:cNvSpPr txBox="1"/>
      </xdr:nvSpPr>
      <xdr:spPr>
        <a:xfrm>
          <a:off x="5778500" y="4191000"/>
          <a:ext cx="508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lang="en-GB" sz="1100" b="1"/>
            <a:t>A-1.1</a:t>
          </a:r>
        </a:p>
      </xdr:txBody>
    </xdr:sp>
    <xdr:clientData/>
  </xdr:oneCellAnchor>
  <xdr:twoCellAnchor>
    <xdr:from>
      <xdr:col>5</xdr:col>
      <xdr:colOff>165100</xdr:colOff>
      <xdr:row>19</xdr:row>
      <xdr:rowOff>63500</xdr:rowOff>
    </xdr:from>
    <xdr:to>
      <xdr:col>6</xdr:col>
      <xdr:colOff>863600</xdr:colOff>
      <xdr:row>23</xdr:row>
      <xdr:rowOff>63500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98CDBF3C-1AF2-244A-B869-BB21F52AEDF9}"/>
            </a:ext>
          </a:extLst>
        </xdr:cNvPr>
        <xdr:cNvCxnSpPr/>
      </xdr:nvCxnSpPr>
      <xdr:spPr>
        <a:xfrm flipV="1">
          <a:off x="4445000" y="3683000"/>
          <a:ext cx="1905000" cy="762000"/>
        </a:xfrm>
        <a:prstGeom prst="line">
          <a:avLst/>
        </a:prstGeom>
        <a:ln w="38100">
          <a:solidFill>
            <a:srgbClr val="FA0080"/>
          </a:solidFill>
          <a:prstDash val="soli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228600</xdr:colOff>
      <xdr:row>18</xdr:row>
      <xdr:rowOff>0</xdr:rowOff>
    </xdr:from>
    <xdr:ext cx="635000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EAA5502-E04D-154A-B22E-50FE643E138D}"/>
            </a:ext>
          </a:extLst>
        </xdr:cNvPr>
        <xdr:cNvSpPr txBox="1"/>
      </xdr:nvSpPr>
      <xdr:spPr>
        <a:xfrm>
          <a:off x="5715000" y="3429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FA0080"/>
              </a:solidFill>
            </a:rPr>
            <a:t>Poste 1</a:t>
          </a:r>
        </a:p>
      </xdr:txBody>
    </xdr:sp>
    <xdr:clientData/>
  </xdr:oneCellAnchor>
  <xdr:twoCellAnchor>
    <xdr:from>
      <xdr:col>5</xdr:col>
      <xdr:colOff>165100</xdr:colOff>
      <xdr:row>17</xdr:row>
      <xdr:rowOff>63500</xdr:rowOff>
    </xdr:from>
    <xdr:to>
      <xdr:col>6</xdr:col>
      <xdr:colOff>863600</xdr:colOff>
      <xdr:row>23</xdr:row>
      <xdr:rowOff>63500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A77726E-5246-3348-A5C0-863F1902810A}"/>
            </a:ext>
          </a:extLst>
        </xdr:cNvPr>
        <xdr:cNvCxnSpPr/>
      </xdr:nvCxnSpPr>
      <xdr:spPr>
        <a:xfrm flipV="1">
          <a:off x="4445000" y="3302000"/>
          <a:ext cx="1905000" cy="1143000"/>
        </a:xfrm>
        <a:prstGeom prst="line">
          <a:avLst/>
        </a:prstGeom>
        <a:ln w="38100">
          <a:solidFill>
            <a:srgbClr val="0070C0"/>
          </a:solidFill>
          <a:prstDash val="soli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863600</xdr:colOff>
      <xdr:row>17</xdr:row>
      <xdr:rowOff>63500</xdr:rowOff>
    </xdr:from>
    <xdr:ext cx="635000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C5C07A0-F1EF-5746-979D-0DF61BFF0B04}"/>
            </a:ext>
          </a:extLst>
        </xdr:cNvPr>
        <xdr:cNvSpPr txBox="1"/>
      </xdr:nvSpPr>
      <xdr:spPr>
        <a:xfrm>
          <a:off x="6350000" y="3302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0070C0"/>
              </a:solidFill>
            </a:rPr>
            <a:t>Poste 2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165100</xdr:colOff>
      <xdr:row>10</xdr:row>
      <xdr:rowOff>0</xdr:rowOff>
    </xdr:from>
    <xdr:to>
      <xdr:col>7</xdr:col>
      <xdr:colOff>546100</xdr:colOff>
      <xdr:row>23</xdr:row>
      <xdr:rowOff>63500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28CBF0C-5099-1549-B408-B0386260E0C2}"/>
            </a:ext>
          </a:extLst>
        </xdr:cNvPr>
        <xdr:cNvSpPr/>
      </xdr:nvSpPr>
      <xdr:spPr>
        <a:xfrm>
          <a:off x="6858000" y="1905000"/>
          <a:ext cx="3175000" cy="2540000"/>
        </a:xfrm>
        <a:prstGeom prst="rect">
          <a:avLst/>
        </a:prstGeom>
        <a:solidFill>
          <a:srgbClr val="FAFAF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5</xdr:col>
      <xdr:colOff>113654</xdr:colOff>
      <xdr:row>15</xdr:row>
      <xdr:rowOff>63500</xdr:rowOff>
    </xdr:from>
    <xdr:ext cx="356893" cy="95346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F47BE2F-09B9-0C40-B07B-B848CE35DD4F}"/>
            </a:ext>
          </a:extLst>
        </xdr:cNvPr>
        <xdr:cNvSpPr txBox="1"/>
      </xdr:nvSpPr>
      <xdr:spPr>
        <a:xfrm>
          <a:off x="6806554" y="2921000"/>
          <a:ext cx="356893" cy="953466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rtlCol="0" anchor="ctr">
          <a:spAutoFit/>
        </a:bodyPr>
        <a:lstStyle/>
        <a:p>
          <a:pPr algn="ctr"/>
          <a:r>
            <a:rPr lang="en-GB" sz="1100" b="1"/>
            <a:t>A-1.2</a:t>
          </a:r>
        </a:p>
      </xdr:txBody>
    </xdr:sp>
    <xdr:clientData/>
  </xdr:oneCellAnchor>
  <xdr:oneCellAnchor>
    <xdr:from>
      <xdr:col>6</xdr:col>
      <xdr:colOff>292100</xdr:colOff>
      <xdr:row>22</xdr:row>
      <xdr:rowOff>0</xdr:rowOff>
    </xdr:from>
    <xdr:ext cx="50800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62EC17E-6BAD-4A49-8F26-EAEE626AC9C4}"/>
            </a:ext>
          </a:extLst>
        </xdr:cNvPr>
        <xdr:cNvSpPr txBox="1"/>
      </xdr:nvSpPr>
      <xdr:spPr>
        <a:xfrm>
          <a:off x="8191500" y="4191000"/>
          <a:ext cx="508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lang="en-GB" sz="1100" b="1"/>
            <a:t>A-1.1</a:t>
          </a:r>
        </a:p>
      </xdr:txBody>
    </xdr:sp>
    <xdr:clientData/>
  </xdr:oneCellAnchor>
  <xdr:twoCellAnchor>
    <xdr:from>
      <xdr:col>5</xdr:col>
      <xdr:colOff>165100</xdr:colOff>
      <xdr:row>19</xdr:row>
      <xdr:rowOff>63500</xdr:rowOff>
    </xdr:from>
    <xdr:to>
      <xdr:col>6</xdr:col>
      <xdr:colOff>863600</xdr:colOff>
      <xdr:row>23</xdr:row>
      <xdr:rowOff>63500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257ECDF-B0E7-3B45-9B71-CFE7D62978FB}"/>
            </a:ext>
          </a:extLst>
        </xdr:cNvPr>
        <xdr:cNvCxnSpPr/>
      </xdr:nvCxnSpPr>
      <xdr:spPr>
        <a:xfrm flipV="1">
          <a:off x="6858000" y="3683000"/>
          <a:ext cx="1905000" cy="762000"/>
        </a:xfrm>
        <a:prstGeom prst="line">
          <a:avLst/>
        </a:prstGeom>
        <a:ln w="38100">
          <a:solidFill>
            <a:srgbClr val="FA0080"/>
          </a:solidFill>
          <a:prstDash val="soli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228600</xdr:colOff>
      <xdr:row>18</xdr:row>
      <xdr:rowOff>0</xdr:rowOff>
    </xdr:from>
    <xdr:ext cx="635000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9E7FBEC-6C5B-E343-A799-C4EC65994152}"/>
            </a:ext>
          </a:extLst>
        </xdr:cNvPr>
        <xdr:cNvSpPr txBox="1"/>
      </xdr:nvSpPr>
      <xdr:spPr>
        <a:xfrm>
          <a:off x="8128000" y="3429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FA0080"/>
              </a:solidFill>
            </a:rPr>
            <a:t>Poste 1</a:t>
          </a:r>
        </a:p>
      </xdr:txBody>
    </xdr:sp>
    <xdr:clientData/>
  </xdr:oneCellAnchor>
  <xdr:twoCellAnchor>
    <xdr:from>
      <xdr:col>5</xdr:col>
      <xdr:colOff>165100</xdr:colOff>
      <xdr:row>17</xdr:row>
      <xdr:rowOff>63500</xdr:rowOff>
    </xdr:from>
    <xdr:to>
      <xdr:col>6</xdr:col>
      <xdr:colOff>863600</xdr:colOff>
      <xdr:row>23</xdr:row>
      <xdr:rowOff>63500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9C6AF3A-CAB0-2240-8071-8BFC2BE5D651}"/>
            </a:ext>
          </a:extLst>
        </xdr:cNvPr>
        <xdr:cNvCxnSpPr/>
      </xdr:nvCxnSpPr>
      <xdr:spPr>
        <a:xfrm flipV="1">
          <a:off x="6858000" y="3302000"/>
          <a:ext cx="1905000" cy="1143000"/>
        </a:xfrm>
        <a:prstGeom prst="line">
          <a:avLst/>
        </a:prstGeom>
        <a:ln w="38100">
          <a:solidFill>
            <a:srgbClr val="0070C0"/>
          </a:solidFill>
          <a:prstDash val="solid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863600</xdr:colOff>
      <xdr:row>17</xdr:row>
      <xdr:rowOff>63500</xdr:rowOff>
    </xdr:from>
    <xdr:ext cx="635000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D898F442-775E-D44A-B58C-9CC57A627B3B}"/>
            </a:ext>
          </a:extLst>
        </xdr:cNvPr>
        <xdr:cNvSpPr txBox="1"/>
      </xdr:nvSpPr>
      <xdr:spPr>
        <a:xfrm>
          <a:off x="8763000" y="3302000"/>
          <a:ext cx="635000" cy="264560"/>
        </a:xfrm>
        <a:prstGeom prst="rect">
          <a:avLst/>
        </a:prstGeom>
        <a:solidFill>
          <a:scrgbClr r="0" g="0" b="0">
            <a:alpha val="1000"/>
          </a:scrgbClr>
        </a:solidFill>
        <a:effectLst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n-GB" sz="1100" b="1">
              <a:solidFill>
                <a:srgbClr val="0070C0"/>
              </a:solidFill>
            </a:rPr>
            <a:t>Poste 2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6"/>
  <sheetViews>
    <sheetView workbookViewId="0">
      <selection activeCell="C1" sqref="C1:D1"/>
    </sheetView>
  </sheetViews>
  <sheetFormatPr baseColWidth="10" defaultColWidth="8.83203125" defaultRowHeight="15" x14ac:dyDescent="0.2"/>
  <cols>
    <col min="1" max="1" width="26.6640625" customWidth="1"/>
    <col min="2" max="2" width="8" customWidth="1"/>
    <col min="3" max="3" width="10" customWidth="1"/>
    <col min="4" max="4" width="11.5" customWidth="1"/>
    <col min="5" max="5" width="31.6640625" customWidth="1"/>
    <col min="6" max="6" width="15.83203125" customWidth="1"/>
    <col min="7" max="7" width="20.83203125" customWidth="1"/>
  </cols>
  <sheetData>
    <row r="1" spans="1:11" x14ac:dyDescent="0.2">
      <c r="A1" s="2" t="s">
        <v>30</v>
      </c>
      <c r="B1" s="2" t="s">
        <v>25</v>
      </c>
      <c r="C1" s="11" t="s">
        <v>66</v>
      </c>
      <c r="D1" s="10" t="s">
        <v>67</v>
      </c>
      <c r="E1" s="5" t="s">
        <v>52</v>
      </c>
      <c r="F1" s="3"/>
      <c r="G1" s="3" t="s">
        <v>55</v>
      </c>
    </row>
    <row r="2" spans="1:11" x14ac:dyDescent="0.2">
      <c r="A2" s="7" t="s">
        <v>26</v>
      </c>
      <c r="B2" s="2" t="s">
        <v>0</v>
      </c>
      <c r="C2" s="12">
        <v>5</v>
      </c>
      <c r="D2" s="13">
        <v>5</v>
      </c>
      <c r="E2">
        <v>8</v>
      </c>
      <c r="G2" s="6">
        <v>0.85926874604251602</v>
      </c>
    </row>
    <row r="3" spans="1:11" x14ac:dyDescent="0.2">
      <c r="A3" s="7" t="s">
        <v>27</v>
      </c>
      <c r="B3" s="2" t="s">
        <v>1</v>
      </c>
      <c r="C3" s="12">
        <v>2</v>
      </c>
      <c r="D3" s="13">
        <v>3</v>
      </c>
      <c r="E3">
        <v>3</v>
      </c>
    </row>
    <row r="4" spans="1:11" x14ac:dyDescent="0.2">
      <c r="A4" s="1" t="s">
        <v>28</v>
      </c>
      <c r="B4" s="2" t="s">
        <v>2</v>
      </c>
      <c r="C4" s="4">
        <v>3</v>
      </c>
      <c r="D4" s="4">
        <v>2</v>
      </c>
      <c r="E4">
        <v>4</v>
      </c>
    </row>
    <row r="5" spans="1:11" x14ac:dyDescent="0.2">
      <c r="A5" s="1" t="s">
        <v>29</v>
      </c>
      <c r="B5" s="2" t="s">
        <v>3</v>
      </c>
      <c r="C5" s="4">
        <v>3</v>
      </c>
      <c r="D5" s="4">
        <v>2</v>
      </c>
      <c r="E5">
        <v>4</v>
      </c>
      <c r="G5" s="3" t="s">
        <v>53</v>
      </c>
    </row>
    <row r="6" spans="1:11" x14ac:dyDescent="0.2">
      <c r="A6" s="1" t="s">
        <v>31</v>
      </c>
      <c r="B6" s="2" t="s">
        <v>4</v>
      </c>
      <c r="C6" s="4">
        <v>3</v>
      </c>
      <c r="D6" s="4">
        <v>4</v>
      </c>
      <c r="E6">
        <v>5</v>
      </c>
      <c r="G6" s="8">
        <v>0.98113438515108886</v>
      </c>
      <c r="J6" s="9"/>
      <c r="K6" s="9"/>
    </row>
    <row r="7" spans="1:11" x14ac:dyDescent="0.2">
      <c r="A7" s="1" t="s">
        <v>32</v>
      </c>
      <c r="B7" s="2" t="s">
        <v>5</v>
      </c>
      <c r="C7" s="4">
        <v>3</v>
      </c>
      <c r="D7" s="4">
        <v>4</v>
      </c>
      <c r="E7">
        <v>5</v>
      </c>
      <c r="J7" s="9"/>
      <c r="K7" s="9"/>
    </row>
    <row r="8" spans="1:11" x14ac:dyDescent="0.2">
      <c r="A8" s="1" t="s">
        <v>33</v>
      </c>
      <c r="B8" s="2" t="s">
        <v>6</v>
      </c>
      <c r="C8" s="4">
        <v>3</v>
      </c>
      <c r="D8" s="4">
        <v>3</v>
      </c>
      <c r="E8">
        <v>5</v>
      </c>
    </row>
    <row r="9" spans="1:11" x14ac:dyDescent="0.2">
      <c r="A9" s="1" t="s">
        <v>34</v>
      </c>
      <c r="B9" s="2" t="s">
        <v>7</v>
      </c>
      <c r="C9" s="4">
        <v>2</v>
      </c>
      <c r="D9" s="4">
        <v>1</v>
      </c>
      <c r="E9">
        <v>5</v>
      </c>
    </row>
    <row r="10" spans="1:11" x14ac:dyDescent="0.2">
      <c r="A10" s="1" t="s">
        <v>35</v>
      </c>
      <c r="B10" s="2" t="s">
        <v>8</v>
      </c>
      <c r="C10" s="4">
        <v>1</v>
      </c>
      <c r="D10" s="4">
        <v>4</v>
      </c>
      <c r="E10">
        <v>4</v>
      </c>
      <c r="G10" s="3" t="s">
        <v>54</v>
      </c>
    </row>
    <row r="11" spans="1:11" x14ac:dyDescent="0.2">
      <c r="A11" s="1" t="s">
        <v>36</v>
      </c>
      <c r="B11" s="2" t="s">
        <v>9</v>
      </c>
      <c r="C11" s="4">
        <v>2</v>
      </c>
      <c r="D11" s="4">
        <v>4</v>
      </c>
      <c r="E11">
        <v>6</v>
      </c>
    </row>
    <row r="12" spans="1:11" x14ac:dyDescent="0.2">
      <c r="A12" s="1" t="s">
        <v>37</v>
      </c>
      <c r="B12" s="2" t="s">
        <v>10</v>
      </c>
      <c r="C12" s="4">
        <v>3</v>
      </c>
      <c r="D12" s="4">
        <v>2</v>
      </c>
      <c r="E12">
        <v>5</v>
      </c>
    </row>
    <row r="13" spans="1:11" x14ac:dyDescent="0.2">
      <c r="A13" s="1" t="s">
        <v>38</v>
      </c>
      <c r="B13" s="2" t="s">
        <v>11</v>
      </c>
      <c r="C13" s="4">
        <v>3</v>
      </c>
      <c r="D13" s="4">
        <v>2</v>
      </c>
      <c r="E13">
        <v>4</v>
      </c>
    </row>
    <row r="14" spans="1:11" x14ac:dyDescent="0.2">
      <c r="A14" s="1" t="s">
        <v>39</v>
      </c>
      <c r="B14" s="2" t="s">
        <v>12</v>
      </c>
      <c r="C14" s="4">
        <v>3</v>
      </c>
      <c r="D14" s="4">
        <v>4</v>
      </c>
      <c r="E14">
        <v>5</v>
      </c>
    </row>
    <row r="15" spans="1:11" x14ac:dyDescent="0.2">
      <c r="A15" s="1" t="s">
        <v>40</v>
      </c>
      <c r="B15" s="2" t="s">
        <v>13</v>
      </c>
      <c r="C15" s="4">
        <v>3</v>
      </c>
      <c r="D15" s="4">
        <v>1</v>
      </c>
      <c r="E15">
        <v>5</v>
      </c>
    </row>
    <row r="16" spans="1:11" x14ac:dyDescent="0.2">
      <c r="A16" s="1" t="s">
        <v>41</v>
      </c>
      <c r="B16" s="2" t="s">
        <v>14</v>
      </c>
      <c r="C16" s="4">
        <v>2</v>
      </c>
      <c r="D16" s="4">
        <v>2</v>
      </c>
      <c r="E16">
        <v>6</v>
      </c>
    </row>
    <row r="17" spans="1:5" x14ac:dyDescent="0.2">
      <c r="A17" s="1" t="s">
        <v>42</v>
      </c>
      <c r="B17" s="2" t="s">
        <v>15</v>
      </c>
      <c r="C17" s="4">
        <v>1</v>
      </c>
      <c r="D17" s="4">
        <v>3</v>
      </c>
      <c r="E17">
        <v>3</v>
      </c>
    </row>
    <row r="18" spans="1:5" x14ac:dyDescent="0.2">
      <c r="A18" s="1" t="s">
        <v>43</v>
      </c>
      <c r="B18" s="2" t="s">
        <v>16</v>
      </c>
      <c r="C18" s="4">
        <v>1</v>
      </c>
      <c r="D18" s="4">
        <v>1</v>
      </c>
      <c r="E18">
        <v>3</v>
      </c>
    </row>
    <row r="19" spans="1:5" x14ac:dyDescent="0.2">
      <c r="A19" s="1" t="s">
        <v>44</v>
      </c>
      <c r="B19" s="2" t="s">
        <v>17</v>
      </c>
      <c r="C19" s="4">
        <v>2</v>
      </c>
      <c r="D19" s="4">
        <v>1</v>
      </c>
      <c r="E19">
        <v>3</v>
      </c>
    </row>
    <row r="20" spans="1:5" x14ac:dyDescent="0.2">
      <c r="A20" s="1" t="s">
        <v>45</v>
      </c>
      <c r="B20" s="2" t="s">
        <v>18</v>
      </c>
      <c r="C20" s="4">
        <v>3</v>
      </c>
      <c r="D20" s="4">
        <v>3</v>
      </c>
      <c r="E20">
        <v>4</v>
      </c>
    </row>
    <row r="21" spans="1:5" x14ac:dyDescent="0.2">
      <c r="A21" s="1" t="s">
        <v>46</v>
      </c>
      <c r="B21" s="2" t="s">
        <v>19</v>
      </c>
      <c r="C21" s="4">
        <v>1</v>
      </c>
      <c r="D21" s="4">
        <v>4</v>
      </c>
      <c r="E21">
        <v>4</v>
      </c>
    </row>
    <row r="22" spans="1:5" x14ac:dyDescent="0.2">
      <c r="A22" s="1" t="s">
        <v>47</v>
      </c>
      <c r="B22" s="2" t="s">
        <v>20</v>
      </c>
      <c r="C22" s="4">
        <v>1</v>
      </c>
      <c r="D22" s="4">
        <v>1</v>
      </c>
      <c r="E22">
        <v>4</v>
      </c>
    </row>
    <row r="23" spans="1:5" x14ac:dyDescent="0.2">
      <c r="A23" s="1" t="s">
        <v>48</v>
      </c>
      <c r="B23" s="2" t="s">
        <v>21</v>
      </c>
      <c r="C23" s="4">
        <v>1</v>
      </c>
      <c r="D23" s="4">
        <v>1</v>
      </c>
      <c r="E23">
        <v>4</v>
      </c>
    </row>
    <row r="24" spans="1:5" x14ac:dyDescent="0.2">
      <c r="A24" s="1" t="s">
        <v>49</v>
      </c>
      <c r="B24" s="2" t="s">
        <v>22</v>
      </c>
      <c r="C24" s="4">
        <v>1</v>
      </c>
      <c r="D24" s="4">
        <v>1</v>
      </c>
      <c r="E24">
        <v>3</v>
      </c>
    </row>
    <row r="25" spans="1:5" x14ac:dyDescent="0.2">
      <c r="A25" s="1" t="s">
        <v>50</v>
      </c>
      <c r="B25" s="2" t="s">
        <v>23</v>
      </c>
      <c r="C25" s="4">
        <v>1</v>
      </c>
      <c r="D25" s="4">
        <v>1</v>
      </c>
      <c r="E25">
        <v>4</v>
      </c>
    </row>
    <row r="26" spans="1:5" x14ac:dyDescent="0.2">
      <c r="A26" s="1" t="s">
        <v>51</v>
      </c>
      <c r="B26" s="2" t="s">
        <v>24</v>
      </c>
      <c r="C26" s="4">
        <v>1</v>
      </c>
      <c r="D26" s="4">
        <v>1</v>
      </c>
      <c r="E26">
        <v>4</v>
      </c>
    </row>
  </sheetData>
  <dataValidations count="4">
    <dataValidation type="whole" allowBlank="1" showInputMessage="1" showErrorMessage="1" errorTitle="Message" error="La valeur ne peut pas être supérieure au maximum" sqref="J6:J7" xr:uid="{00000000-0002-0000-0000-000000000000}">
      <formula1>1</formula1>
      <formula2>L6</formula2>
    </dataValidation>
    <dataValidation type="whole" allowBlank="1" showInputMessage="1" showErrorMessage="1" errorTitle="Message" error="La valeur ne peut pas être supérieure au maximum" sqref="K6:K7" xr:uid="{00000000-0002-0000-0000-000001000000}">
      <formula1>1</formula1>
      <formula2>L6</formula2>
    </dataValidation>
    <dataValidation type="decimal" allowBlank="1" showInputMessage="1" showErrorMessage="1" errorTitle="Message" error="La valeur ne peut pas être supérieure au maximum" sqref="C2:C26" xr:uid="{00000000-0002-0000-0000-000002000000}">
      <formula1>1</formula1>
      <formula2>E2</formula2>
    </dataValidation>
    <dataValidation type="decimal" allowBlank="1" showInputMessage="1" showErrorMessage="1" errorTitle="Message" error="La valeur ne peut pas être supérieure au maximum" sqref="D2:D26" xr:uid="{00000000-0002-0000-0000-000003000000}">
      <formula1>1</formula1>
      <formula2>E2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55"/>
  <sheetViews>
    <sheetView tabSelected="1" workbookViewId="0">
      <selection activeCell="E37" sqref="E37"/>
    </sheetView>
  </sheetViews>
  <sheetFormatPr baseColWidth="10" defaultColWidth="8.83203125" defaultRowHeight="15" x14ac:dyDescent="0.2"/>
  <cols>
    <col min="6" max="6" width="23.5" customWidth="1"/>
    <col min="15" max="15" width="45.33203125" customWidth="1"/>
  </cols>
  <sheetData>
    <row r="1" spans="1:15" x14ac:dyDescent="0.2">
      <c r="A1" s="2" t="s">
        <v>30</v>
      </c>
      <c r="B1" s="2" t="s">
        <v>25</v>
      </c>
      <c r="C1" s="11" t="s">
        <v>66</v>
      </c>
      <c r="D1" s="10" t="s">
        <v>67</v>
      </c>
      <c r="E1" s="5" t="s">
        <v>52</v>
      </c>
      <c r="F1" s="3"/>
      <c r="G1" s="3" t="s">
        <v>55</v>
      </c>
    </row>
    <row r="2" spans="1:15" x14ac:dyDescent="0.2">
      <c r="A2" s="7" t="s">
        <v>26</v>
      </c>
      <c r="B2" s="2" t="str">
        <f>R31&amp;"-"&amp;P31&amp;"."&amp;Q31</f>
        <v>A-1.1</v>
      </c>
      <c r="C2" s="12" cm="1">
        <f t="array" ref="C2:C26">S31:S55</f>
        <v>5</v>
      </c>
      <c r="D2" s="13">
        <v>5</v>
      </c>
      <c r="E2">
        <v>8</v>
      </c>
      <c r="G2" s="6">
        <v>0.85926874604251602</v>
      </c>
      <c r="O2" t="s">
        <v>65</v>
      </c>
    </row>
    <row r="3" spans="1:15" x14ac:dyDescent="0.2">
      <c r="A3" s="7" t="s">
        <v>27</v>
      </c>
      <c r="B3" s="2" t="str">
        <f t="shared" ref="B3:B26" si="0">R32&amp;"-"&amp;P32&amp;"."&amp;Q32</f>
        <v>A-1.2</v>
      </c>
      <c r="C3" s="12">
        <v>1</v>
      </c>
      <c r="D3" s="13">
        <v>3</v>
      </c>
      <c r="E3">
        <v>3</v>
      </c>
    </row>
    <row r="4" spans="1:15" x14ac:dyDescent="0.2">
      <c r="A4" s="1" t="s">
        <v>28</v>
      </c>
      <c r="B4" s="2" t="str">
        <f t="shared" si="0"/>
        <v>A-2.1</v>
      </c>
      <c r="C4" s="4">
        <v>1</v>
      </c>
      <c r="D4" s="4">
        <v>2</v>
      </c>
      <c r="E4">
        <v>4</v>
      </c>
    </row>
    <row r="5" spans="1:15" x14ac:dyDescent="0.2">
      <c r="A5" s="1" t="s">
        <v>29</v>
      </c>
      <c r="B5" s="2" t="str">
        <f t="shared" si="0"/>
        <v>A-2.2</v>
      </c>
      <c r="C5" s="4">
        <v>1</v>
      </c>
      <c r="D5" s="4">
        <v>2</v>
      </c>
      <c r="E5">
        <v>4</v>
      </c>
      <c r="G5" s="3" t="s">
        <v>53</v>
      </c>
    </row>
    <row r="6" spans="1:15" x14ac:dyDescent="0.2">
      <c r="A6" s="1" t="s">
        <v>31</v>
      </c>
      <c r="B6" s="2" t="str">
        <f t="shared" si="0"/>
        <v>B-1.1</v>
      </c>
      <c r="C6" s="4">
        <v>3</v>
      </c>
      <c r="D6" s="4">
        <v>4</v>
      </c>
      <c r="E6">
        <v>5</v>
      </c>
      <c r="G6" s="8">
        <v>0.98113438515108886</v>
      </c>
      <c r="J6" s="9"/>
    </row>
    <row r="7" spans="1:15" x14ac:dyDescent="0.2">
      <c r="A7" s="1" t="s">
        <v>32</v>
      </c>
      <c r="B7" s="2" t="str">
        <f t="shared" si="0"/>
        <v>B-1.2</v>
      </c>
      <c r="C7" s="4">
        <v>2</v>
      </c>
      <c r="D7" s="4">
        <v>4</v>
      </c>
      <c r="E7">
        <v>5</v>
      </c>
      <c r="J7" s="9"/>
    </row>
    <row r="8" spans="1:15" x14ac:dyDescent="0.2">
      <c r="A8" s="1" t="s">
        <v>33</v>
      </c>
      <c r="B8" s="2" t="str">
        <f t="shared" si="0"/>
        <v>B-2.1</v>
      </c>
      <c r="C8" s="4">
        <v>1</v>
      </c>
      <c r="D8" s="4">
        <v>3</v>
      </c>
      <c r="E8">
        <v>5</v>
      </c>
    </row>
    <row r="9" spans="1:15" x14ac:dyDescent="0.2">
      <c r="A9" s="1" t="s">
        <v>34</v>
      </c>
      <c r="B9" s="2" t="str">
        <f t="shared" si="0"/>
        <v>B-3.1</v>
      </c>
      <c r="C9" s="4">
        <v>1</v>
      </c>
      <c r="D9" s="4">
        <v>1</v>
      </c>
      <c r="E9">
        <v>5</v>
      </c>
    </row>
    <row r="10" spans="1:15" x14ac:dyDescent="0.2">
      <c r="A10" s="1" t="s">
        <v>35</v>
      </c>
      <c r="B10" s="2" t="str">
        <f t="shared" si="0"/>
        <v>B-3.2</v>
      </c>
      <c r="C10" s="4">
        <v>2</v>
      </c>
      <c r="D10" s="4">
        <v>4</v>
      </c>
      <c r="E10">
        <v>4</v>
      </c>
      <c r="G10" s="3" t="s">
        <v>54</v>
      </c>
    </row>
    <row r="11" spans="1:15" x14ac:dyDescent="0.2">
      <c r="A11" s="1" t="s">
        <v>36</v>
      </c>
      <c r="B11" s="2" t="str">
        <f t="shared" si="0"/>
        <v>B-4.1</v>
      </c>
      <c r="C11" s="4">
        <v>1</v>
      </c>
      <c r="D11" s="4">
        <v>4</v>
      </c>
      <c r="E11">
        <v>6</v>
      </c>
    </row>
    <row r="12" spans="1:15" x14ac:dyDescent="0.2">
      <c r="A12" s="1" t="s">
        <v>37</v>
      </c>
      <c r="B12" s="2" t="str">
        <f t="shared" si="0"/>
        <v>B-5.1</v>
      </c>
      <c r="C12" s="4">
        <v>2</v>
      </c>
      <c r="D12" s="4">
        <v>2</v>
      </c>
      <c r="E12">
        <v>5</v>
      </c>
    </row>
    <row r="13" spans="1:15" x14ac:dyDescent="0.2">
      <c r="A13" s="1" t="s">
        <v>38</v>
      </c>
      <c r="B13" s="2" t="str">
        <f t="shared" si="0"/>
        <v>B-5.2</v>
      </c>
      <c r="C13" s="4">
        <v>3</v>
      </c>
      <c r="D13" s="4">
        <v>2</v>
      </c>
      <c r="E13">
        <v>4</v>
      </c>
    </row>
    <row r="14" spans="1:15" x14ac:dyDescent="0.2">
      <c r="A14" s="1" t="s">
        <v>39</v>
      </c>
      <c r="B14" s="2" t="str">
        <f t="shared" si="0"/>
        <v>C-1.1</v>
      </c>
      <c r="C14" s="4">
        <v>3</v>
      </c>
      <c r="D14" s="4">
        <v>4</v>
      </c>
      <c r="E14">
        <v>5</v>
      </c>
    </row>
    <row r="15" spans="1:15" x14ac:dyDescent="0.2">
      <c r="A15" s="1" t="s">
        <v>40</v>
      </c>
      <c r="B15" s="2" t="str">
        <f t="shared" si="0"/>
        <v>C-2.1</v>
      </c>
      <c r="C15" s="4">
        <v>4</v>
      </c>
      <c r="D15" s="4">
        <v>1</v>
      </c>
      <c r="E15">
        <v>5</v>
      </c>
    </row>
    <row r="16" spans="1:15" x14ac:dyDescent="0.2">
      <c r="A16" s="1" t="s">
        <v>41</v>
      </c>
      <c r="B16" s="2" t="str">
        <f t="shared" si="0"/>
        <v>C-3.1</v>
      </c>
      <c r="C16" s="4">
        <v>3</v>
      </c>
      <c r="D16" s="4">
        <v>2</v>
      </c>
      <c r="E16">
        <v>6</v>
      </c>
    </row>
    <row r="17" spans="1:19" x14ac:dyDescent="0.2">
      <c r="A17" s="1" t="s">
        <v>42</v>
      </c>
      <c r="B17" s="2" t="str">
        <f t="shared" si="0"/>
        <v>D-1.1</v>
      </c>
      <c r="C17" s="4">
        <v>2</v>
      </c>
      <c r="D17" s="4">
        <v>3</v>
      </c>
      <c r="E17">
        <v>3</v>
      </c>
    </row>
    <row r="18" spans="1:19" x14ac:dyDescent="0.2">
      <c r="A18" s="1" t="s">
        <v>43</v>
      </c>
      <c r="B18" s="2" t="str">
        <f t="shared" si="0"/>
        <v>D-1.2</v>
      </c>
      <c r="C18" s="4">
        <v>2</v>
      </c>
      <c r="D18" s="4">
        <v>1</v>
      </c>
      <c r="E18">
        <v>3</v>
      </c>
    </row>
    <row r="19" spans="1:19" x14ac:dyDescent="0.2">
      <c r="A19" s="1" t="s">
        <v>44</v>
      </c>
      <c r="B19" s="2" t="str">
        <f t="shared" si="0"/>
        <v>D-2.1</v>
      </c>
      <c r="C19" s="4">
        <v>1</v>
      </c>
      <c r="D19" s="4">
        <v>1</v>
      </c>
      <c r="E19">
        <v>3</v>
      </c>
    </row>
    <row r="20" spans="1:19" x14ac:dyDescent="0.2">
      <c r="A20" s="1" t="s">
        <v>45</v>
      </c>
      <c r="B20" s="2" t="str">
        <f t="shared" si="0"/>
        <v>D-3.1</v>
      </c>
      <c r="C20" s="4">
        <v>1</v>
      </c>
      <c r="D20" s="4">
        <v>3</v>
      </c>
      <c r="E20">
        <v>4</v>
      </c>
    </row>
    <row r="21" spans="1:19" x14ac:dyDescent="0.2">
      <c r="A21" s="1" t="s">
        <v>46</v>
      </c>
      <c r="B21" s="2" t="str">
        <f t="shared" si="0"/>
        <v>D-4.1</v>
      </c>
      <c r="C21" s="4">
        <v>1</v>
      </c>
      <c r="D21" s="4">
        <v>4</v>
      </c>
      <c r="E21">
        <v>4</v>
      </c>
    </row>
    <row r="22" spans="1:19" x14ac:dyDescent="0.2">
      <c r="A22" t="s">
        <v>62</v>
      </c>
      <c r="B22" s="2" t="str">
        <f t="shared" si="0"/>
        <v>EA-1.1</v>
      </c>
      <c r="C22" s="4">
        <v>3</v>
      </c>
      <c r="D22" s="4">
        <v>1</v>
      </c>
      <c r="E22">
        <v>4</v>
      </c>
    </row>
    <row r="23" spans="1:19" x14ac:dyDescent="0.2">
      <c r="A23" t="s">
        <v>63</v>
      </c>
      <c r="B23" s="2" t="str">
        <f t="shared" si="0"/>
        <v>EA-2.1</v>
      </c>
      <c r="C23" s="4">
        <v>2</v>
      </c>
      <c r="D23" s="4">
        <v>1</v>
      </c>
      <c r="E23">
        <v>4</v>
      </c>
    </row>
    <row r="24" spans="1:19" x14ac:dyDescent="0.2">
      <c r="A24" s="1" t="s">
        <v>49</v>
      </c>
      <c r="B24" s="2" t="str">
        <f t="shared" si="0"/>
        <v>FA-1.1</v>
      </c>
      <c r="C24" s="4">
        <v>2</v>
      </c>
      <c r="D24" s="4">
        <v>1</v>
      </c>
      <c r="E24">
        <v>3</v>
      </c>
    </row>
    <row r="25" spans="1:19" x14ac:dyDescent="0.2">
      <c r="A25" s="1" t="s">
        <v>50</v>
      </c>
      <c r="B25" s="2" t="str">
        <f t="shared" si="0"/>
        <v>FA-2.1</v>
      </c>
      <c r="C25" s="4">
        <v>2</v>
      </c>
      <c r="D25" s="4">
        <v>1</v>
      </c>
      <c r="E25">
        <v>4</v>
      </c>
    </row>
    <row r="26" spans="1:19" x14ac:dyDescent="0.2">
      <c r="A26" s="1" t="s">
        <v>51</v>
      </c>
      <c r="B26" s="2" t="str">
        <f t="shared" si="0"/>
        <v>FA-3.1</v>
      </c>
      <c r="C26" s="4">
        <v>1</v>
      </c>
      <c r="D26" s="4">
        <v>1</v>
      </c>
      <c r="E26">
        <v>4</v>
      </c>
    </row>
    <row r="31" spans="1:19" x14ac:dyDescent="0.2">
      <c r="P31">
        <v>1</v>
      </c>
      <c r="Q31">
        <v>1</v>
      </c>
      <c r="R31" t="s">
        <v>56</v>
      </c>
      <c r="S31">
        <v>5</v>
      </c>
    </row>
    <row r="32" spans="1:19" x14ac:dyDescent="0.2">
      <c r="P32">
        <v>1</v>
      </c>
      <c r="Q32">
        <v>2</v>
      </c>
      <c r="R32" t="s">
        <v>56</v>
      </c>
      <c r="S32">
        <v>1</v>
      </c>
    </row>
    <row r="33" spans="16:19" x14ac:dyDescent="0.2">
      <c r="P33">
        <v>2</v>
      </c>
      <c r="Q33">
        <v>1</v>
      </c>
      <c r="R33" t="s">
        <v>56</v>
      </c>
      <c r="S33">
        <v>1</v>
      </c>
    </row>
    <row r="34" spans="16:19" x14ac:dyDescent="0.2">
      <c r="P34">
        <v>2</v>
      </c>
      <c r="Q34">
        <v>2</v>
      </c>
      <c r="R34" t="s">
        <v>56</v>
      </c>
      <c r="S34">
        <v>1</v>
      </c>
    </row>
    <row r="35" spans="16:19" x14ac:dyDescent="0.2">
      <c r="P35">
        <v>1</v>
      </c>
      <c r="Q35">
        <v>1</v>
      </c>
      <c r="R35" t="s">
        <v>57</v>
      </c>
      <c r="S35">
        <v>3</v>
      </c>
    </row>
    <row r="36" spans="16:19" x14ac:dyDescent="0.2">
      <c r="P36">
        <v>1</v>
      </c>
      <c r="Q36">
        <v>2</v>
      </c>
      <c r="R36" t="s">
        <v>57</v>
      </c>
      <c r="S36">
        <v>2</v>
      </c>
    </row>
    <row r="37" spans="16:19" x14ac:dyDescent="0.2">
      <c r="P37">
        <v>2</v>
      </c>
      <c r="Q37">
        <v>1</v>
      </c>
      <c r="R37" t="s">
        <v>57</v>
      </c>
      <c r="S37">
        <v>1</v>
      </c>
    </row>
    <row r="38" spans="16:19" x14ac:dyDescent="0.2">
      <c r="P38">
        <v>3</v>
      </c>
      <c r="Q38">
        <v>1</v>
      </c>
      <c r="R38" t="s">
        <v>57</v>
      </c>
      <c r="S38">
        <v>1</v>
      </c>
    </row>
    <row r="39" spans="16:19" x14ac:dyDescent="0.2">
      <c r="P39">
        <v>3</v>
      </c>
      <c r="Q39">
        <v>2</v>
      </c>
      <c r="R39" t="s">
        <v>57</v>
      </c>
      <c r="S39">
        <v>2</v>
      </c>
    </row>
    <row r="40" spans="16:19" x14ac:dyDescent="0.2">
      <c r="P40">
        <v>4</v>
      </c>
      <c r="Q40">
        <v>1</v>
      </c>
      <c r="R40" t="s">
        <v>57</v>
      </c>
      <c r="S40">
        <v>1</v>
      </c>
    </row>
    <row r="41" spans="16:19" x14ac:dyDescent="0.2">
      <c r="P41">
        <v>5</v>
      </c>
      <c r="Q41">
        <v>1</v>
      </c>
      <c r="R41" t="s">
        <v>57</v>
      </c>
      <c r="S41">
        <v>2</v>
      </c>
    </row>
    <row r="42" spans="16:19" x14ac:dyDescent="0.2">
      <c r="P42">
        <v>5</v>
      </c>
      <c r="Q42">
        <v>2</v>
      </c>
      <c r="R42" t="s">
        <v>57</v>
      </c>
      <c r="S42">
        <v>3</v>
      </c>
    </row>
    <row r="43" spans="16:19" x14ac:dyDescent="0.2">
      <c r="P43">
        <v>1</v>
      </c>
      <c r="Q43">
        <v>1</v>
      </c>
      <c r="R43" t="s">
        <v>58</v>
      </c>
      <c r="S43">
        <v>3</v>
      </c>
    </row>
    <row r="44" spans="16:19" x14ac:dyDescent="0.2">
      <c r="P44">
        <v>2</v>
      </c>
      <c r="Q44">
        <v>1</v>
      </c>
      <c r="R44" t="s">
        <v>58</v>
      </c>
      <c r="S44">
        <v>4</v>
      </c>
    </row>
    <row r="45" spans="16:19" x14ac:dyDescent="0.2">
      <c r="P45">
        <v>3</v>
      </c>
      <c r="Q45">
        <v>1</v>
      </c>
      <c r="R45" t="s">
        <v>58</v>
      </c>
      <c r="S45">
        <v>3</v>
      </c>
    </row>
    <row r="46" spans="16:19" x14ac:dyDescent="0.2">
      <c r="P46">
        <v>1</v>
      </c>
      <c r="Q46">
        <v>1</v>
      </c>
      <c r="R46" t="s">
        <v>59</v>
      </c>
      <c r="S46">
        <v>2</v>
      </c>
    </row>
    <row r="47" spans="16:19" x14ac:dyDescent="0.2">
      <c r="P47">
        <v>1</v>
      </c>
      <c r="Q47">
        <v>2</v>
      </c>
      <c r="R47" t="s">
        <v>59</v>
      </c>
      <c r="S47">
        <v>2</v>
      </c>
    </row>
    <row r="48" spans="16:19" x14ac:dyDescent="0.2">
      <c r="P48">
        <v>2</v>
      </c>
      <c r="Q48">
        <v>1</v>
      </c>
      <c r="R48" t="s">
        <v>59</v>
      </c>
      <c r="S48">
        <v>1</v>
      </c>
    </row>
    <row r="49" spans="16:19" x14ac:dyDescent="0.2">
      <c r="P49">
        <v>3</v>
      </c>
      <c r="Q49">
        <v>1</v>
      </c>
      <c r="R49" t="s">
        <v>59</v>
      </c>
      <c r="S49">
        <v>1</v>
      </c>
    </row>
    <row r="50" spans="16:19" x14ac:dyDescent="0.2">
      <c r="P50">
        <v>4</v>
      </c>
      <c r="Q50">
        <v>1</v>
      </c>
      <c r="R50" t="s">
        <v>59</v>
      </c>
      <c r="S50">
        <v>1</v>
      </c>
    </row>
    <row r="51" spans="16:19" x14ac:dyDescent="0.2">
      <c r="P51">
        <v>1</v>
      </c>
      <c r="Q51">
        <v>1</v>
      </c>
      <c r="R51" t="s">
        <v>60</v>
      </c>
      <c r="S51">
        <v>3</v>
      </c>
    </row>
    <row r="52" spans="16:19" x14ac:dyDescent="0.2">
      <c r="P52">
        <v>2</v>
      </c>
      <c r="Q52">
        <v>1</v>
      </c>
      <c r="R52" t="s">
        <v>60</v>
      </c>
      <c r="S52">
        <v>2</v>
      </c>
    </row>
    <row r="53" spans="16:19" x14ac:dyDescent="0.2">
      <c r="P53">
        <v>1</v>
      </c>
      <c r="Q53">
        <v>1</v>
      </c>
      <c r="R53" t="s">
        <v>61</v>
      </c>
      <c r="S53">
        <v>2</v>
      </c>
    </row>
    <row r="54" spans="16:19" x14ac:dyDescent="0.2">
      <c r="P54">
        <v>2</v>
      </c>
      <c r="Q54">
        <v>1</v>
      </c>
      <c r="R54" t="s">
        <v>61</v>
      </c>
      <c r="S54">
        <v>2</v>
      </c>
    </row>
    <row r="55" spans="16:19" x14ac:dyDescent="0.2">
      <c r="P55">
        <v>3</v>
      </c>
      <c r="Q55">
        <v>1</v>
      </c>
      <c r="R55" t="s">
        <v>61</v>
      </c>
      <c r="S55">
        <v>1</v>
      </c>
    </row>
  </sheetData>
  <dataValidations count="3">
    <dataValidation type="decimal" allowBlank="1" showInputMessage="1" showErrorMessage="1" errorTitle="Message" error="La valeur ne peut pas être supérieure au maximum" sqref="D2:D26" xr:uid="{4667B82C-02FA-4140-8F97-9713AD997C2B}">
      <formula1>1</formula1>
      <formula2>E2</formula2>
    </dataValidation>
    <dataValidation type="decimal" allowBlank="1" showInputMessage="1" showErrorMessage="1" errorTitle="Message" error="La valeur ne peut pas être supérieure au maximum" sqref="C2:C26" xr:uid="{41BDAECD-B11D-2C4A-A293-9237AC6A45FC}">
      <formula1>1</formula1>
      <formula2>E2</formula2>
    </dataValidation>
    <dataValidation type="whole" allowBlank="1" showInputMessage="1" showErrorMessage="1" errorTitle="Message" error="La valeur ne peut pas être supérieure au maximum" sqref="J6:J7" xr:uid="{CD455C69-F779-8741-B6A5-DCA3BAA9C3BC}">
      <formula1>1</formula1>
      <formula2>L6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54"/>
  <sheetViews>
    <sheetView workbookViewId="0">
      <selection activeCell="A22" sqref="A22:A26"/>
    </sheetView>
  </sheetViews>
  <sheetFormatPr baseColWidth="10" defaultColWidth="8.83203125" defaultRowHeight="15" x14ac:dyDescent="0.2"/>
  <cols>
    <col min="15" max="15" width="34" customWidth="1"/>
  </cols>
  <sheetData>
    <row r="1" spans="1:15" x14ac:dyDescent="0.2">
      <c r="A1" s="2" t="s">
        <v>30</v>
      </c>
      <c r="B1" s="2" t="s">
        <v>25</v>
      </c>
      <c r="C1" s="11" t="s">
        <v>66</v>
      </c>
      <c r="D1" s="10" t="s">
        <v>67</v>
      </c>
      <c r="E1" s="5" t="s">
        <v>52</v>
      </c>
      <c r="F1" s="3"/>
      <c r="G1" s="3" t="s">
        <v>55</v>
      </c>
    </row>
    <row r="2" spans="1:15" x14ac:dyDescent="0.2">
      <c r="A2" s="7" t="s">
        <v>26</v>
      </c>
      <c r="B2" s="2" t="str">
        <f>Q30&amp;"-"&amp;R30&amp;"."&amp;S30</f>
        <v>A-1.1</v>
      </c>
      <c r="C2" s="12" cm="1">
        <f t="array" ref="C2:C26">T30:T54</f>
        <v>5</v>
      </c>
      <c r="D2" s="13">
        <v>5</v>
      </c>
      <c r="E2">
        <v>8</v>
      </c>
      <c r="G2" s="6">
        <v>0.85926874604251602</v>
      </c>
      <c r="O2" t="s">
        <v>64</v>
      </c>
    </row>
    <row r="3" spans="1:15" x14ac:dyDescent="0.2">
      <c r="A3" s="7" t="s">
        <v>27</v>
      </c>
      <c r="B3" s="2" t="str">
        <f t="shared" ref="B3:B26" si="0">Q31&amp;"-"&amp;R31&amp;"."&amp;S31</f>
        <v>A-1.2</v>
      </c>
      <c r="C3" s="12">
        <v>3</v>
      </c>
      <c r="D3" s="13">
        <v>3</v>
      </c>
      <c r="E3">
        <v>3</v>
      </c>
    </row>
    <row r="4" spans="1:15" x14ac:dyDescent="0.2">
      <c r="A4" s="1" t="s">
        <v>28</v>
      </c>
      <c r="B4" s="2" t="str">
        <f t="shared" si="0"/>
        <v>A-2.1</v>
      </c>
      <c r="C4" s="12">
        <v>3</v>
      </c>
      <c r="D4" s="4">
        <v>2</v>
      </c>
      <c r="E4">
        <v>4</v>
      </c>
    </row>
    <row r="5" spans="1:15" x14ac:dyDescent="0.2">
      <c r="A5" s="1" t="s">
        <v>29</v>
      </c>
      <c r="B5" s="2" t="str">
        <f t="shared" si="0"/>
        <v>A-2.2</v>
      </c>
      <c r="C5" s="12">
        <v>2</v>
      </c>
      <c r="D5" s="4">
        <v>2</v>
      </c>
      <c r="E5">
        <v>4</v>
      </c>
      <c r="G5" s="3" t="s">
        <v>53</v>
      </c>
    </row>
    <row r="6" spans="1:15" x14ac:dyDescent="0.2">
      <c r="A6" s="1" t="s">
        <v>31</v>
      </c>
      <c r="B6" s="2" t="str">
        <f t="shared" si="0"/>
        <v>B-1.1</v>
      </c>
      <c r="C6" s="12">
        <v>3</v>
      </c>
      <c r="D6" s="4">
        <v>4</v>
      </c>
      <c r="E6">
        <v>5</v>
      </c>
      <c r="G6" s="8">
        <v>0.98113438515108886</v>
      </c>
      <c r="J6" s="9"/>
    </row>
    <row r="7" spans="1:15" x14ac:dyDescent="0.2">
      <c r="A7" s="1" t="s">
        <v>32</v>
      </c>
      <c r="B7" s="2" t="str">
        <f t="shared" si="0"/>
        <v>B-1.2</v>
      </c>
      <c r="C7" s="12">
        <v>3</v>
      </c>
      <c r="D7" s="4">
        <v>4</v>
      </c>
      <c r="E7">
        <v>5</v>
      </c>
      <c r="J7" s="9"/>
    </row>
    <row r="8" spans="1:15" x14ac:dyDescent="0.2">
      <c r="A8" s="1" t="s">
        <v>33</v>
      </c>
      <c r="B8" s="2" t="str">
        <f t="shared" si="0"/>
        <v>B-2.1</v>
      </c>
      <c r="C8" s="12">
        <v>4</v>
      </c>
      <c r="D8" s="4">
        <v>3</v>
      </c>
      <c r="E8">
        <v>5</v>
      </c>
    </row>
    <row r="9" spans="1:15" x14ac:dyDescent="0.2">
      <c r="A9" s="1" t="s">
        <v>34</v>
      </c>
      <c r="B9" s="2" t="str">
        <f t="shared" si="0"/>
        <v>B-3.1</v>
      </c>
      <c r="C9" s="12">
        <v>3</v>
      </c>
      <c r="D9" s="4">
        <v>1</v>
      </c>
      <c r="E9">
        <v>5</v>
      </c>
    </row>
    <row r="10" spans="1:15" x14ac:dyDescent="0.2">
      <c r="A10" s="1" t="s">
        <v>35</v>
      </c>
      <c r="B10" s="2" t="str">
        <f t="shared" si="0"/>
        <v>B-3.2</v>
      </c>
      <c r="C10" s="12">
        <v>3</v>
      </c>
      <c r="D10" s="4">
        <v>4</v>
      </c>
      <c r="E10">
        <v>4</v>
      </c>
      <c r="G10" s="3" t="s">
        <v>54</v>
      </c>
    </row>
    <row r="11" spans="1:15" x14ac:dyDescent="0.2">
      <c r="A11" s="1" t="s">
        <v>36</v>
      </c>
      <c r="B11" s="2" t="str">
        <f t="shared" si="0"/>
        <v>B-4.1</v>
      </c>
      <c r="C11" s="12">
        <v>2</v>
      </c>
      <c r="D11" s="4">
        <v>4</v>
      </c>
      <c r="E11">
        <v>6</v>
      </c>
    </row>
    <row r="12" spans="1:15" x14ac:dyDescent="0.2">
      <c r="A12" s="1" t="s">
        <v>37</v>
      </c>
      <c r="B12" s="2" t="str">
        <f t="shared" si="0"/>
        <v>B-5.1</v>
      </c>
      <c r="C12" s="12">
        <v>3</v>
      </c>
      <c r="D12" s="4">
        <v>2</v>
      </c>
      <c r="E12">
        <v>5</v>
      </c>
    </row>
    <row r="13" spans="1:15" x14ac:dyDescent="0.2">
      <c r="A13" s="1" t="s">
        <v>38</v>
      </c>
      <c r="B13" s="2" t="str">
        <f t="shared" si="0"/>
        <v>B-5.2</v>
      </c>
      <c r="C13" s="12">
        <v>3</v>
      </c>
      <c r="D13" s="4">
        <v>2</v>
      </c>
      <c r="E13">
        <v>4</v>
      </c>
    </row>
    <row r="14" spans="1:15" x14ac:dyDescent="0.2">
      <c r="A14" s="1" t="s">
        <v>39</v>
      </c>
      <c r="B14" s="2" t="str">
        <f t="shared" si="0"/>
        <v>C-1.1</v>
      </c>
      <c r="C14" s="12">
        <v>4</v>
      </c>
      <c r="D14" s="4">
        <v>4</v>
      </c>
      <c r="E14">
        <v>5</v>
      </c>
    </row>
    <row r="15" spans="1:15" x14ac:dyDescent="0.2">
      <c r="A15" s="1" t="s">
        <v>40</v>
      </c>
      <c r="B15" s="2" t="str">
        <f t="shared" si="0"/>
        <v>C-2.1</v>
      </c>
      <c r="C15" s="12">
        <v>3</v>
      </c>
      <c r="D15" s="4">
        <v>1</v>
      </c>
      <c r="E15">
        <v>5</v>
      </c>
    </row>
    <row r="16" spans="1:15" x14ac:dyDescent="0.2">
      <c r="A16" s="1" t="s">
        <v>41</v>
      </c>
      <c r="B16" s="2" t="str">
        <f t="shared" si="0"/>
        <v>C-3.1</v>
      </c>
      <c r="C16" s="12">
        <v>3</v>
      </c>
      <c r="D16" s="4">
        <v>2</v>
      </c>
      <c r="E16">
        <v>6</v>
      </c>
    </row>
    <row r="17" spans="1:22" x14ac:dyDescent="0.2">
      <c r="A17" s="1" t="s">
        <v>42</v>
      </c>
      <c r="B17" s="2" t="str">
        <f t="shared" si="0"/>
        <v>D-1.1</v>
      </c>
      <c r="C17" s="12">
        <v>3</v>
      </c>
      <c r="D17" s="4">
        <v>3</v>
      </c>
      <c r="E17">
        <v>3</v>
      </c>
    </row>
    <row r="18" spans="1:22" x14ac:dyDescent="0.2">
      <c r="A18" s="1" t="s">
        <v>43</v>
      </c>
      <c r="B18" s="2" t="str">
        <f t="shared" si="0"/>
        <v>D-1.2</v>
      </c>
      <c r="C18" s="12">
        <v>1</v>
      </c>
      <c r="D18" s="4">
        <v>1</v>
      </c>
      <c r="E18">
        <v>3</v>
      </c>
    </row>
    <row r="19" spans="1:22" x14ac:dyDescent="0.2">
      <c r="A19" s="1" t="s">
        <v>44</v>
      </c>
      <c r="B19" s="2" t="str">
        <f t="shared" si="0"/>
        <v>D-2.1</v>
      </c>
      <c r="C19" s="12">
        <v>2</v>
      </c>
      <c r="D19" s="4">
        <v>1</v>
      </c>
      <c r="E19">
        <v>3</v>
      </c>
    </row>
    <row r="20" spans="1:22" x14ac:dyDescent="0.2">
      <c r="A20" s="1" t="s">
        <v>45</v>
      </c>
      <c r="B20" s="2" t="str">
        <f t="shared" si="0"/>
        <v>D-3.1</v>
      </c>
      <c r="C20" s="12">
        <v>1</v>
      </c>
      <c r="D20" s="4">
        <v>3</v>
      </c>
      <c r="E20">
        <v>4</v>
      </c>
    </row>
    <row r="21" spans="1:22" x14ac:dyDescent="0.2">
      <c r="A21" s="1" t="s">
        <v>46</v>
      </c>
      <c r="B21" s="2" t="str">
        <f t="shared" si="0"/>
        <v>D-4.1</v>
      </c>
      <c r="C21" s="12">
        <v>1</v>
      </c>
      <c r="D21" s="4">
        <v>4</v>
      </c>
      <c r="E21">
        <v>4</v>
      </c>
    </row>
    <row r="22" spans="1:22" x14ac:dyDescent="0.2">
      <c r="A22" t="s">
        <v>62</v>
      </c>
      <c r="B22" s="2" t="str">
        <f t="shared" si="0"/>
        <v>EA-1.1</v>
      </c>
      <c r="C22" s="12">
        <v>3</v>
      </c>
      <c r="D22" s="4">
        <v>1</v>
      </c>
      <c r="E22">
        <v>4</v>
      </c>
    </row>
    <row r="23" spans="1:22" x14ac:dyDescent="0.2">
      <c r="A23" t="s">
        <v>63</v>
      </c>
      <c r="B23" s="2" t="str">
        <f t="shared" si="0"/>
        <v>EA-2.1</v>
      </c>
      <c r="C23" s="12">
        <v>3</v>
      </c>
      <c r="D23" s="4">
        <v>1</v>
      </c>
      <c r="E23">
        <v>4</v>
      </c>
    </row>
    <row r="24" spans="1:22" x14ac:dyDescent="0.2">
      <c r="A24" s="1" t="s">
        <v>49</v>
      </c>
      <c r="B24" s="2" t="str">
        <f t="shared" si="0"/>
        <v>FA-1.1</v>
      </c>
      <c r="C24" s="12">
        <v>1</v>
      </c>
      <c r="D24" s="4">
        <v>1</v>
      </c>
      <c r="E24">
        <v>3</v>
      </c>
    </row>
    <row r="25" spans="1:22" x14ac:dyDescent="0.2">
      <c r="A25" s="1" t="s">
        <v>50</v>
      </c>
      <c r="B25" s="2" t="str">
        <f t="shared" si="0"/>
        <v>FA-2.1</v>
      </c>
      <c r="C25" s="12">
        <v>3</v>
      </c>
      <c r="D25" s="4">
        <v>1</v>
      </c>
      <c r="E25">
        <v>4</v>
      </c>
    </row>
    <row r="26" spans="1:22" x14ac:dyDescent="0.2">
      <c r="A26" s="1" t="s">
        <v>51</v>
      </c>
      <c r="B26" s="2" t="str">
        <f t="shared" si="0"/>
        <v>FA-3.1</v>
      </c>
      <c r="C26" s="12">
        <v>2</v>
      </c>
      <c r="D26" s="4">
        <v>1</v>
      </c>
      <c r="E26">
        <v>4</v>
      </c>
    </row>
    <row r="30" spans="1:22" x14ac:dyDescent="0.2">
      <c r="Q30" t="s">
        <v>56</v>
      </c>
      <c r="R30">
        <v>1</v>
      </c>
      <c r="S30">
        <v>1</v>
      </c>
      <c r="T30">
        <v>5</v>
      </c>
    </row>
    <row r="31" spans="1:22" x14ac:dyDescent="0.2">
      <c r="Q31" t="s">
        <v>56</v>
      </c>
      <c r="R31">
        <v>1</v>
      </c>
      <c r="S31">
        <v>2</v>
      </c>
      <c r="T31">
        <v>3</v>
      </c>
      <c r="V31" t="str">
        <f t="shared" ref="V31:V54" si="1">Q31&amp;"-"&amp;R31&amp;"."&amp;S31</f>
        <v>A-1.2</v>
      </c>
    </row>
    <row r="32" spans="1:22" x14ac:dyDescent="0.2">
      <c r="Q32" t="s">
        <v>56</v>
      </c>
      <c r="R32">
        <v>2</v>
      </c>
      <c r="S32">
        <v>1</v>
      </c>
      <c r="T32">
        <v>3</v>
      </c>
      <c r="V32" t="str">
        <f t="shared" si="1"/>
        <v>A-2.1</v>
      </c>
    </row>
    <row r="33" spans="17:22" x14ac:dyDescent="0.2">
      <c r="Q33" t="s">
        <v>56</v>
      </c>
      <c r="R33">
        <v>2</v>
      </c>
      <c r="S33">
        <v>2</v>
      </c>
      <c r="T33">
        <v>2</v>
      </c>
      <c r="V33" t="str">
        <f t="shared" si="1"/>
        <v>A-2.2</v>
      </c>
    </row>
    <row r="34" spans="17:22" x14ac:dyDescent="0.2">
      <c r="Q34" t="s">
        <v>57</v>
      </c>
      <c r="R34">
        <v>1</v>
      </c>
      <c r="S34">
        <v>1</v>
      </c>
      <c r="T34">
        <v>3</v>
      </c>
      <c r="V34" t="str">
        <f t="shared" si="1"/>
        <v>B-1.1</v>
      </c>
    </row>
    <row r="35" spans="17:22" x14ac:dyDescent="0.2">
      <c r="Q35" t="s">
        <v>57</v>
      </c>
      <c r="R35">
        <v>1</v>
      </c>
      <c r="S35">
        <v>2</v>
      </c>
      <c r="T35">
        <v>3</v>
      </c>
      <c r="V35" t="str">
        <f t="shared" si="1"/>
        <v>B-1.2</v>
      </c>
    </row>
    <row r="36" spans="17:22" x14ac:dyDescent="0.2">
      <c r="Q36" t="s">
        <v>57</v>
      </c>
      <c r="R36">
        <v>2</v>
      </c>
      <c r="S36">
        <v>1</v>
      </c>
      <c r="T36">
        <v>4</v>
      </c>
      <c r="V36" t="str">
        <f t="shared" si="1"/>
        <v>B-2.1</v>
      </c>
    </row>
    <row r="37" spans="17:22" x14ac:dyDescent="0.2">
      <c r="Q37" t="s">
        <v>57</v>
      </c>
      <c r="R37">
        <v>3</v>
      </c>
      <c r="S37">
        <v>1</v>
      </c>
      <c r="T37">
        <v>3</v>
      </c>
      <c r="V37" t="str">
        <f t="shared" si="1"/>
        <v>B-3.1</v>
      </c>
    </row>
    <row r="38" spans="17:22" x14ac:dyDescent="0.2">
      <c r="Q38" t="s">
        <v>57</v>
      </c>
      <c r="R38">
        <v>3</v>
      </c>
      <c r="S38">
        <v>2</v>
      </c>
      <c r="T38">
        <v>3</v>
      </c>
      <c r="V38" t="str">
        <f t="shared" si="1"/>
        <v>B-3.2</v>
      </c>
    </row>
    <row r="39" spans="17:22" x14ac:dyDescent="0.2">
      <c r="Q39" t="s">
        <v>57</v>
      </c>
      <c r="R39">
        <v>4</v>
      </c>
      <c r="S39">
        <v>1</v>
      </c>
      <c r="T39">
        <v>2</v>
      </c>
      <c r="V39" t="str">
        <f t="shared" si="1"/>
        <v>B-4.1</v>
      </c>
    </row>
    <row r="40" spans="17:22" x14ac:dyDescent="0.2">
      <c r="Q40" t="s">
        <v>57</v>
      </c>
      <c r="R40">
        <v>5</v>
      </c>
      <c r="S40">
        <v>1</v>
      </c>
      <c r="T40">
        <v>3</v>
      </c>
      <c r="V40" t="str">
        <f t="shared" si="1"/>
        <v>B-5.1</v>
      </c>
    </row>
    <row r="41" spans="17:22" x14ac:dyDescent="0.2">
      <c r="Q41" t="s">
        <v>57</v>
      </c>
      <c r="R41">
        <v>5</v>
      </c>
      <c r="S41">
        <v>2</v>
      </c>
      <c r="T41">
        <v>3</v>
      </c>
      <c r="V41" t="str">
        <f t="shared" si="1"/>
        <v>B-5.2</v>
      </c>
    </row>
    <row r="42" spans="17:22" x14ac:dyDescent="0.2">
      <c r="Q42" t="s">
        <v>58</v>
      </c>
      <c r="R42">
        <v>1</v>
      </c>
      <c r="S42">
        <v>1</v>
      </c>
      <c r="T42">
        <v>4</v>
      </c>
      <c r="V42" t="str">
        <f t="shared" si="1"/>
        <v>C-1.1</v>
      </c>
    </row>
    <row r="43" spans="17:22" x14ac:dyDescent="0.2">
      <c r="Q43" t="s">
        <v>58</v>
      </c>
      <c r="R43">
        <v>2</v>
      </c>
      <c r="S43">
        <v>1</v>
      </c>
      <c r="T43">
        <v>3</v>
      </c>
      <c r="V43" t="str">
        <f t="shared" si="1"/>
        <v>C-2.1</v>
      </c>
    </row>
    <row r="44" spans="17:22" x14ac:dyDescent="0.2">
      <c r="Q44" t="s">
        <v>58</v>
      </c>
      <c r="R44">
        <v>3</v>
      </c>
      <c r="S44">
        <v>1</v>
      </c>
      <c r="T44">
        <v>3</v>
      </c>
      <c r="V44" t="str">
        <f t="shared" si="1"/>
        <v>C-3.1</v>
      </c>
    </row>
    <row r="45" spans="17:22" x14ac:dyDescent="0.2">
      <c r="Q45" t="s">
        <v>59</v>
      </c>
      <c r="R45">
        <v>1</v>
      </c>
      <c r="S45">
        <v>1</v>
      </c>
      <c r="T45">
        <v>3</v>
      </c>
      <c r="V45" t="str">
        <f t="shared" si="1"/>
        <v>D-1.1</v>
      </c>
    </row>
    <row r="46" spans="17:22" x14ac:dyDescent="0.2">
      <c r="Q46" t="s">
        <v>59</v>
      </c>
      <c r="R46">
        <v>1</v>
      </c>
      <c r="S46">
        <v>2</v>
      </c>
      <c r="T46">
        <v>1</v>
      </c>
      <c r="V46" t="str">
        <f t="shared" si="1"/>
        <v>D-1.2</v>
      </c>
    </row>
    <row r="47" spans="17:22" x14ac:dyDescent="0.2">
      <c r="Q47" t="s">
        <v>59</v>
      </c>
      <c r="R47">
        <v>2</v>
      </c>
      <c r="S47">
        <v>1</v>
      </c>
      <c r="T47">
        <v>2</v>
      </c>
      <c r="V47" t="str">
        <f t="shared" si="1"/>
        <v>D-2.1</v>
      </c>
    </row>
    <row r="48" spans="17:22" x14ac:dyDescent="0.2">
      <c r="Q48" t="s">
        <v>59</v>
      </c>
      <c r="R48">
        <v>3</v>
      </c>
      <c r="S48">
        <v>1</v>
      </c>
      <c r="T48">
        <v>1</v>
      </c>
      <c r="V48" t="str">
        <f t="shared" si="1"/>
        <v>D-3.1</v>
      </c>
    </row>
    <row r="49" spans="17:22" x14ac:dyDescent="0.2">
      <c r="Q49" t="s">
        <v>59</v>
      </c>
      <c r="R49">
        <v>4</v>
      </c>
      <c r="S49">
        <v>1</v>
      </c>
      <c r="T49">
        <v>1</v>
      </c>
      <c r="V49" t="str">
        <f t="shared" si="1"/>
        <v>D-4.1</v>
      </c>
    </row>
    <row r="50" spans="17:22" x14ac:dyDescent="0.2">
      <c r="Q50" t="s">
        <v>60</v>
      </c>
      <c r="R50">
        <v>1</v>
      </c>
      <c r="S50">
        <v>1</v>
      </c>
      <c r="T50">
        <v>3</v>
      </c>
      <c r="V50" t="str">
        <f t="shared" si="1"/>
        <v>EA-1.1</v>
      </c>
    </row>
    <row r="51" spans="17:22" x14ac:dyDescent="0.2">
      <c r="Q51" t="s">
        <v>60</v>
      </c>
      <c r="R51">
        <v>2</v>
      </c>
      <c r="S51">
        <v>1</v>
      </c>
      <c r="T51">
        <v>3</v>
      </c>
      <c r="V51" t="str">
        <f t="shared" si="1"/>
        <v>EA-2.1</v>
      </c>
    </row>
    <row r="52" spans="17:22" x14ac:dyDescent="0.2">
      <c r="Q52" t="s">
        <v>61</v>
      </c>
      <c r="R52">
        <v>1</v>
      </c>
      <c r="S52">
        <v>1</v>
      </c>
      <c r="T52">
        <v>1</v>
      </c>
      <c r="V52" t="str">
        <f t="shared" si="1"/>
        <v>FA-1.1</v>
      </c>
    </row>
    <row r="53" spans="17:22" x14ac:dyDescent="0.2">
      <c r="Q53" t="s">
        <v>61</v>
      </c>
      <c r="R53">
        <v>2</v>
      </c>
      <c r="S53">
        <v>1</v>
      </c>
      <c r="T53">
        <v>3</v>
      </c>
      <c r="V53" t="str">
        <f t="shared" si="1"/>
        <v>FA-2.1</v>
      </c>
    </row>
    <row r="54" spans="17:22" x14ac:dyDescent="0.2">
      <c r="Q54" t="s">
        <v>61</v>
      </c>
      <c r="R54">
        <v>3</v>
      </c>
      <c r="S54">
        <v>1</v>
      </c>
      <c r="T54">
        <v>2</v>
      </c>
      <c r="V54" t="str">
        <f t="shared" si="1"/>
        <v>FA-3.1</v>
      </c>
    </row>
  </sheetData>
  <dataValidations count="3">
    <dataValidation type="decimal" allowBlank="1" showInputMessage="1" showErrorMessage="1" errorTitle="Message" error="La valeur ne peut pas être supérieure au maximum" sqref="D2:D26" xr:uid="{A3398E59-B47D-FB41-AA88-312220FF4710}">
      <formula1>1</formula1>
      <formula2>E2</formula2>
    </dataValidation>
    <dataValidation type="decimal" allowBlank="1" showInputMessage="1" showErrorMessage="1" errorTitle="Message" error="La valeur ne peut pas être supérieure au maximum" sqref="C2:C26" xr:uid="{AB62451D-DBCB-4B4C-B384-2345FFD50ADD}">
      <formula1>1</formula1>
      <formula2>E2</formula2>
    </dataValidation>
    <dataValidation type="whole" allowBlank="1" showInputMessage="1" showErrorMessage="1" errorTitle="Message" error="La valeur ne peut pas être supérieure au maximum" sqref="J6:J7" xr:uid="{6152FA70-C862-0C43-A000-1D402676681E}">
      <formula1>1</formula1>
      <formula2>L6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POSTES</vt:lpstr>
      <vt:lpstr>sheet2</vt:lpstr>
      <vt:lpstr>Sheet3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Issame Jekkam</cp:lastModifiedBy>
  <dcterms:created xsi:type="dcterms:W3CDTF">2022-02-14T15:49:44Z</dcterms:created>
  <dcterms:modified xsi:type="dcterms:W3CDTF">2025-07-25T09:47:28Z</dcterms:modified>
</cp:coreProperties>
</file>